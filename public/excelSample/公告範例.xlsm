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13_ncr:1_{00FC0E23-3EB0-416F-9314-8EF945CABA7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工作表" sheetId="1" r:id="rId1"/>
    <sheet name="類別" sheetId="4" r:id="rId2"/>
    <sheet name="身分" sheetId="2" r:id="rId3"/>
    <sheet name="Boolean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L5" i="1"/>
  <c r="K4" i="1"/>
  <c r="L4" i="1"/>
  <c r="L3" i="1"/>
  <c r="L2" i="1"/>
  <c r="K3" i="1"/>
  <c r="K2" i="1"/>
</calcChain>
</file>

<file path=xl/sharedStrings.xml><?xml version="1.0" encoding="utf-8"?>
<sst xmlns="http://schemas.openxmlformats.org/spreadsheetml/2006/main" count="70" uniqueCount="64">
  <si>
    <t>公告內容</t>
    <phoneticPr fontId="1" type="noConversion"/>
  </si>
  <si>
    <t>公告起始時間</t>
    <phoneticPr fontId="1" type="noConversion"/>
  </si>
  <si>
    <t>公告結束時間</t>
    <phoneticPr fontId="1" type="noConversion"/>
  </si>
  <si>
    <t>是否置頂</t>
    <phoneticPr fontId="1" type="noConversion"/>
  </si>
  <si>
    <t>是否顯示跑馬燈</t>
    <phoneticPr fontId="1" type="noConversion"/>
  </si>
  <si>
    <t>跑馬燈訊息</t>
    <phoneticPr fontId="1" type="noConversion"/>
  </si>
  <si>
    <t>選擇身分</t>
    <phoneticPr fontId="1" type="noConversion"/>
  </si>
  <si>
    <t>系統管理者</t>
  </si>
  <si>
    <t>保全</t>
  </si>
  <si>
    <t>防災中心</t>
  </si>
  <si>
    <t>房東</t>
  </si>
  <si>
    <t>一般使用者</t>
  </si>
  <si>
    <t>廠商</t>
  </si>
  <si>
    <t>消防隊</t>
  </si>
  <si>
    <t>住戶/店家</t>
  </si>
  <si>
    <t>管理權人/防火管理人</t>
  </si>
  <si>
    <t>水星防火</t>
  </si>
  <si>
    <t>滅火班</t>
  </si>
  <si>
    <t>通報班</t>
  </si>
  <si>
    <t>避難引導班</t>
  </si>
  <si>
    <t>安全防護班</t>
  </si>
  <si>
    <t>救護班</t>
  </si>
  <si>
    <r>
      <t>{"id":"61b98f4c-641f-42c8-96ef-e4303331ef33","name":"System","type":1,"description":"</t>
    </r>
    <r>
      <rPr>
        <sz val="9"/>
        <color rgb="FF000000"/>
        <rFont val="細明體"/>
        <family val="3"/>
        <charset val="136"/>
      </rPr>
      <t>系統管理者</t>
    </r>
    <r>
      <rPr>
        <sz val="9"/>
        <color rgb="FF000000"/>
        <rFont val="Consolas"/>
        <family val="3"/>
      </rPr>
      <t>","isEmergency":false,"order":null}</t>
    </r>
  </si>
  <si>
    <r>
      <t>{"id":"914bc62f-3784-42fa-8d1b-31e5e3821a8c","name":"SecurityGuard","type":1,"description":"</t>
    </r>
    <r>
      <rPr>
        <sz val="9"/>
        <color rgb="FF000000"/>
        <rFont val="細明體"/>
        <family val="3"/>
        <charset val="136"/>
      </rPr>
      <t>保全</t>
    </r>
    <r>
      <rPr>
        <sz val="9"/>
        <color rgb="FF000000"/>
        <rFont val="Consolas"/>
        <family val="3"/>
      </rPr>
      <t>","isEmergency":true,"order":null}</t>
    </r>
  </si>
  <si>
    <r>
      <t>{"id":"fc4b5464-b836-4989-bb13-37ab5cf62b36","name":"Center","type":1,"description":"</t>
    </r>
    <r>
      <rPr>
        <sz val="9"/>
        <color rgb="FF000000"/>
        <rFont val="細明體"/>
        <family val="3"/>
        <charset val="136"/>
      </rPr>
      <t>防災中心</t>
    </r>
    <r>
      <rPr>
        <sz val="9"/>
        <color rgb="FF000000"/>
        <rFont val="Consolas"/>
        <family val="3"/>
      </rPr>
      <t>","isEmergency":false,"order":null}</t>
    </r>
  </si>
  <si>
    <r>
      <t>{"id":"29943e08-4bc7-441f-857d-7ff0c925357a","name":"Landlord","type":1,"description":"</t>
    </r>
    <r>
      <rPr>
        <sz val="9"/>
        <color rgb="FF000000"/>
        <rFont val="細明體"/>
        <family val="3"/>
        <charset val="136"/>
      </rPr>
      <t>房東</t>
    </r>
    <r>
      <rPr>
        <sz val="9"/>
        <color rgb="FF000000"/>
        <rFont val="Consolas"/>
        <family val="3"/>
      </rPr>
      <t>","isEmergency":false,"order":null}</t>
    </r>
  </si>
  <si>
    <r>
      <t>{"id":"6876f562-2c12-4955-9b2b-0b396450bbfb","name":"User","type":1,"description":"</t>
    </r>
    <r>
      <rPr>
        <sz val="9"/>
        <color rgb="FF000000"/>
        <rFont val="細明體"/>
        <family val="3"/>
        <charset val="136"/>
      </rPr>
      <t>一般使用者</t>
    </r>
    <r>
      <rPr>
        <sz val="9"/>
        <color rgb="FF000000"/>
        <rFont val="Consolas"/>
        <family val="3"/>
      </rPr>
      <t>","isEmergency":false,"order":null}</t>
    </r>
  </si>
  <si>
    <r>
      <t>{"id":"1c622ee4-dd1a-41bc-96ed-281dbb561567","name":"Provider","type":1,"description":"</t>
    </r>
    <r>
      <rPr>
        <sz val="9"/>
        <color rgb="FF000000"/>
        <rFont val="細明體"/>
        <family val="3"/>
        <charset val="136"/>
      </rPr>
      <t>廠商</t>
    </r>
    <r>
      <rPr>
        <sz val="9"/>
        <color rgb="FF000000"/>
        <rFont val="Consolas"/>
        <family val="3"/>
      </rPr>
      <t>","isEmergency":false,"order":null}</t>
    </r>
  </si>
  <si>
    <r>
      <t>{"id":"39d0ac79-a9d1-4d8e-9e6e-5271259cabdd","name":"FireBrigade","type":1,"description":"</t>
    </r>
    <r>
      <rPr>
        <sz val="9"/>
        <color rgb="FF000000"/>
        <rFont val="細明體"/>
        <family val="3"/>
        <charset val="136"/>
      </rPr>
      <t>消防隊</t>
    </r>
    <r>
      <rPr>
        <sz val="9"/>
        <color rgb="FF000000"/>
        <rFont val="Consolas"/>
        <family val="3"/>
      </rPr>
      <t>","isEmergency":false,"order":null}</t>
    </r>
  </si>
  <si>
    <r>
      <t>{"id":"ba987532-cf78-4a98-9385-0207f20f82e3","name":"Member","type":1,"description":"</t>
    </r>
    <r>
      <rPr>
        <sz val="9"/>
        <color rgb="FF000000"/>
        <rFont val="細明體"/>
        <family val="3"/>
        <charset val="136"/>
      </rPr>
      <t>住戶</t>
    </r>
    <r>
      <rPr>
        <sz val="9"/>
        <color rgb="FF000000"/>
        <rFont val="Consolas"/>
        <family val="3"/>
      </rPr>
      <t>/</t>
    </r>
    <r>
      <rPr>
        <sz val="9"/>
        <color rgb="FF000000"/>
        <rFont val="細明體"/>
        <family val="3"/>
        <charset val="136"/>
      </rPr>
      <t>店家</t>
    </r>
    <r>
      <rPr>
        <sz val="9"/>
        <color rgb="FF000000"/>
        <rFont val="Consolas"/>
        <family val="3"/>
      </rPr>
      <t>","isEmergency":true,"order":null}</t>
    </r>
  </si>
  <si>
    <r>
      <t>{"id":"c16e5cd1-fe2e-46e3-90a5-4aec47236f73","name":"Manager","type":1,"description":"</t>
    </r>
    <r>
      <rPr>
        <sz val="9"/>
        <color rgb="FF000000"/>
        <rFont val="細明體"/>
        <family val="3"/>
        <charset val="136"/>
      </rPr>
      <t>管理權人</t>
    </r>
    <r>
      <rPr>
        <sz val="9"/>
        <color rgb="FF000000"/>
        <rFont val="Consolas"/>
        <family val="3"/>
      </rPr>
      <t>/</t>
    </r>
    <r>
      <rPr>
        <sz val="9"/>
        <color rgb="FF000000"/>
        <rFont val="細明體"/>
        <family val="3"/>
        <charset val="136"/>
      </rPr>
      <t>防火管理人</t>
    </r>
    <r>
      <rPr>
        <sz val="9"/>
        <color rgb="FF000000"/>
        <rFont val="Consolas"/>
        <family val="3"/>
      </rPr>
      <t>","isEmergency":true,"order":null}</t>
    </r>
  </si>
  <si>
    <t>{"id":"9cd6508f-130e-48d2-ba18-379cae9c6896","name":"Mercury","type":1,"description":"水星防火","isEmergency":true,"order":null}</t>
  </si>
  <si>
    <t>{"id":"e8f1d6ec-22c0-4a82-be08-45e82e4f88ae","name":"Fire","type":2,"description":"滅火班","isEmergency":null,"order":1}</t>
  </si>
  <si>
    <t>{"id":"c3a6a998-3995-4959-8c47-1f7f5228da6f","name":"Inform","type":2,"description":"通報班","isEmergency":null,"order":2}</t>
  </si>
  <si>
    <t>{"id":"675f3f26-8e2f-475a-b14d-51e7cbbb7282","name":"EvacuationGuide","type":2,"description":"避難引導班","isEmergency":null,"order":3}</t>
  </si>
  <si>
    <t>{"id":"dea7d351-68fe-4d55-851d-5b47bbca16aa","name":"SafetyProtection","type":2,"description":"安全防護班","isEmergency":null,"order":4}</t>
  </si>
  <si>
    <t>{"id":"32df3cb8-cdaf-4533-8e6c-32507281bf20","name":"Ambulance","type":2,"description":"救護班","isEmergency":null,"order":5}</t>
  </si>
  <si>
    <t>匯入測試1</t>
    <phoneticPr fontId="1" type="noConversion"/>
  </si>
  <si>
    <t>選擇是否置頂</t>
    <phoneticPr fontId="1" type="noConversion"/>
  </si>
  <si>
    <t>選擇是否顯示跑馬燈</t>
    <phoneticPr fontId="1" type="noConversion"/>
  </si>
  <si>
    <t>是</t>
  </si>
  <si>
    <t>是</t>
    <phoneticPr fontId="1" type="noConversion"/>
  </si>
  <si>
    <t>否</t>
    <phoneticPr fontId="1" type="noConversion"/>
  </si>
  <si>
    <t>匯入測試2</t>
    <phoneticPr fontId="1" type="noConversion"/>
  </si>
  <si>
    <t>匯入測試2</t>
    <phoneticPr fontId="1" type="noConversion"/>
  </si>
  <si>
    <t>選擇類別</t>
    <phoneticPr fontId="1" type="noConversion"/>
  </si>
  <si>
    <t>類別</t>
    <phoneticPr fontId="1" type="noConversion"/>
  </si>
  <si>
    <t>相關下載</t>
  </si>
  <si>
    <t>歷屆名冊</t>
  </si>
  <si>
    <t>管委會公告</t>
  </si>
  <si>
    <t>災害注意宣導事項</t>
  </si>
  <si>
    <t>一般公告</t>
  </si>
  <si>
    <t>相關下載, 歷屆名冊</t>
    <phoneticPr fontId="1" type="noConversion"/>
  </si>
  <si>
    <t>主旨</t>
    <phoneticPr fontId="1" type="noConversion"/>
  </si>
  <si>
    <t>匯入測試3</t>
  </si>
  <si>
    <t>匯入測試4</t>
  </si>
  <si>
    <t xml:space="preserve">相關下載, 管委會公告, 一般公告, </t>
    <phoneticPr fontId="1" type="noConversion"/>
  </si>
  <si>
    <t>系統管理者, 保全, 防災中心, 一般使用者</t>
    <phoneticPr fontId="1" type="noConversion"/>
  </si>
  <si>
    <t>[{"id":"61b98f4c-641f-42c8-96ef-e4303331ef33","name":"System","type":1,"description":"系統管理者","isEmergency":false,"order":null}, {"id":"914bc62f-3784-42fa-8d1b-31e5e3821a8c","name":"SecurityGuard","type":1,"description":"保全","isEmergency":true,"order":null}, {"id":"fc4b5464-b836-4989-bb13-37ab5cf62b36","name":"Center","type":1,"description":"防災中心","isEmergency":false,"order":null}, {"id":"6876f562-2c12-4955-9b2b-0b396450bbfb","name":"User","type":1,"description":"一般使用者","isEmergency":false,"order":null}]</t>
    <phoneticPr fontId="1" type="noConversion"/>
  </si>
  <si>
    <t>防災中心</t>
    <phoneticPr fontId="1" type="noConversion"/>
  </si>
  <si>
    <t>[{"id":"fc4b5464-b836-4989-bb13-37ab5cf62b36","name":"Center","type":1,"description":"防災中心","isEmergency":false,"order":null}]</t>
    <phoneticPr fontId="1" type="noConversion"/>
  </si>
  <si>
    <t>保全</t>
    <phoneticPr fontId="1" type="noConversion"/>
  </si>
  <si>
    <t>[{"id":"914bc62f-3784-42fa-8d1b-31e5e3821a8c","name":"SecurityGuard","type":1,"description":"保全","isEmergency":true,"order":null}]</t>
    <phoneticPr fontId="1" type="noConversion"/>
  </si>
  <si>
    <t>身分(可複選)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</si>
</sst>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color rgb="FF000000"/>
      <name val="Consolas"/>
      <family val="3"/>
    </font>
    <font>
      <sz val="12"/>
      <color rgb="FFFF0000"/>
      <name val="新細明體"/>
      <family val="2"/>
      <scheme val="minor"/>
    </font>
    <font>
      <sz val="12"/>
      <color rgb="FFFF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color rgb="FF000000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176" fontId="0" fillId="0" borderId="0" xfId="0" applyNumberFormat="1" applyAlignment="1">
      <alignment horizontal="left" vertical="center" indent="1"/>
    </xf>
    <xf numFmtId="0" fontId="3" fillId="0" borderId="1" xfId="0" applyFon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5" fillId="0" borderId="1" xfId="0" applyFont="1" applyBorder="1" applyAlignment="1">
      <alignment horizontal="left" vertical="center" indent="1"/>
    </xf>
    <xf numFmtId="0" fontId="4" fillId="0" borderId="1" xfId="0" applyFont="1" applyBorder="1" applyAlignment="1">
      <alignment horizontal="left" vertical="center" indent="1"/>
    </xf>
  </cellXfs>
  <cellStyles count="1">
    <cellStyle name="一般" xfId="0" builtinId="0"/>
  </cellStyles>
  <dxfs count="11">
    <dxf>
      <numFmt numFmtId="0" formatCode="General"/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numFmt numFmtId="176" formatCode="yyyy\-mm\-dd;@"/>
      <alignment horizontal="left" vertical="center" textRotation="0" wrapText="0" indent="1" justifyLastLine="0" shrinkToFit="0" readingOrder="0"/>
    </dxf>
    <dxf>
      <numFmt numFmtId="176" formatCode="yyyy\-mm\-dd;@"/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8</xdr:col>
          <xdr:colOff>1628775</xdr:colOff>
          <xdr:row>10</xdr:row>
          <xdr:rowOff>0</xdr:rowOff>
        </xdr:to>
        <xdr:sp macro="" textlink="">
          <xdr:nvSpPr>
            <xdr:cNvPr id="1027" name="List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9</xdr:row>
          <xdr:rowOff>66675</xdr:rowOff>
        </xdr:to>
        <xdr:sp macro="" textlink="">
          <xdr:nvSpPr>
            <xdr:cNvPr id="1028" name="List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1850F3-B897-48CF-ABB1-1E798C65BF2E}" name="表格1" displayName="表格1" ref="A1:M5" totalsRowShown="0" dataDxfId="10">
  <autoFilter ref="A1:M5" xr:uid="{771850F3-B897-48CF-ABB1-1E798C65BF2E}"/>
  <tableColumns count="13">
    <tableColumn id="1" xr3:uid="{ADE3139F-1F78-4C4C-9F5A-7140991B0DE0}" name="選擇類別" dataDxfId="9"/>
    <tableColumn id="12" xr3:uid="{2EC3438B-7F19-4343-A43B-87F76D94FF29}" name="主旨" dataDxfId="8"/>
    <tableColumn id="2" xr3:uid="{6ED7B957-F81B-4AD1-BEBD-F89AA280BB26}" name="公告內容" dataDxfId="7"/>
    <tableColumn id="3" xr3:uid="{CA1A55D2-DBC7-4351-8026-4CE0A3C507C6}" name="公告起始時間" dataDxfId="6"/>
    <tableColumn id="4" xr3:uid="{EA888E7A-75D9-4D14-B7E1-A3305E5BD328}" name="公告結束時間" dataDxfId="5"/>
    <tableColumn id="5" xr3:uid="{12AFBFC7-D1CE-4164-8EAF-96151A931882}" name="選擇是否置頂" dataDxfId="4"/>
    <tableColumn id="6" xr3:uid="{A1C82765-5585-4C3D-BED9-C9EB8DE758AA}" name="選擇是否顯示跑馬燈" dataDxfId="3"/>
    <tableColumn id="7" xr3:uid="{6CE39A18-1D62-496A-9DA3-91E3A4CD209C}" name="跑馬燈訊息" dataDxfId="2"/>
    <tableColumn id="8" xr3:uid="{200C6112-C9D5-416D-8073-7100CE95EFAC}" name="選擇身分"/>
    <tableColumn id="9" xr3:uid="{4417D4D2-B3CA-43C9-9BC6-E358BD019569}" name="身分(可複選)"/>
    <tableColumn id="10" xr3:uid="{2C5C0A97-E08B-408E-8E3F-DBE2BA1C13F3}" name="是否置頂" dataDxfId="1">
      <calculatedColumnFormula>IFERROR(VLOOKUP(F2,Boolean!A:B,2,0),"")</calculatedColumnFormula>
    </tableColumn>
    <tableColumn id="13" xr3:uid="{88E0F902-5AED-4B15-A674-6C6979C6CEAD}" name="是否顯示跑馬燈" dataDxfId="0">
      <calculatedColumnFormula>IFERROR(VLOOKUP(G2,Boolean!A:B,2,0),"")</calculatedColumnFormula>
    </tableColumn>
    <tableColumn id="11" xr3:uid="{9BDAC132-7574-4742-857E-77585B0DBAB7}" name="類別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5"/>
  <sheetViews>
    <sheetView tabSelected="1" workbookViewId="0">
      <selection activeCell="C8" sqref="C8"/>
    </sheetView>
  </sheetViews>
  <sheetFormatPr defaultRowHeight="21.95" customHeight="1" x14ac:dyDescent="0.25"/>
  <cols>
    <col min="1" max="1" width="22.375" customWidth="1"/>
    <col min="2" max="2" width="12.25" customWidth="1"/>
    <col min="3" max="3" width="12.75" customWidth="1"/>
    <col min="4" max="6" width="17" customWidth="1"/>
    <col min="7" max="7" width="23.375" customWidth="1"/>
    <col min="8" max="8" width="14.875" customWidth="1"/>
    <col min="9" max="9" width="37.5" customWidth="1"/>
    <col min="10" max="10" width="23.875" hidden="1" customWidth="1"/>
    <col min="11" max="11" width="12.75" hidden="1" customWidth="1"/>
    <col min="12" max="12" width="21" hidden="1" customWidth="1"/>
    <col min="13" max="13" width="19.125" hidden="1" customWidth="1"/>
    <col min="14" max="15" width="9" style="3"/>
    <col min="16" max="16" width="10.375" style="3" bestFit="1" customWidth="1"/>
    <col min="17" max="16384" width="9" style="3"/>
  </cols>
  <sheetData>
    <row r="1" spans="1:13" ht="21.95" customHeight="1" x14ac:dyDescent="0.25">
      <c r="A1" s="5" t="s">
        <v>45</v>
      </c>
      <c r="B1" s="5" t="s">
        <v>53</v>
      </c>
      <c r="C1" s="5" t="s">
        <v>0</v>
      </c>
      <c r="D1" s="6" t="s">
        <v>1</v>
      </c>
      <c r="E1" s="7" t="s">
        <v>2</v>
      </c>
      <c r="F1" s="5" t="s">
        <v>38</v>
      </c>
      <c r="G1" s="8" t="s">
        <v>39</v>
      </c>
      <c r="H1" s="6" t="s">
        <v>5</v>
      </c>
      <c r="I1" s="6" t="s">
        <v>6</v>
      </c>
      <c r="J1" s="3" t="s">
        <v>63</v>
      </c>
      <c r="K1" s="2" t="s">
        <v>3</v>
      </c>
      <c r="L1" s="2" t="s">
        <v>4</v>
      </c>
      <c r="M1" s="2" t="s">
        <v>46</v>
      </c>
    </row>
    <row r="2" spans="1:13" ht="21.95" customHeight="1" x14ac:dyDescent="0.25">
      <c r="A2" s="3" t="s">
        <v>52</v>
      </c>
      <c r="B2" s="3" t="s">
        <v>37</v>
      </c>
      <c r="C2" s="3" t="s">
        <v>37</v>
      </c>
      <c r="D2" s="4">
        <v>45098</v>
      </c>
      <c r="E2" s="4">
        <v>45315</v>
      </c>
      <c r="F2" s="3" t="s">
        <v>40</v>
      </c>
      <c r="G2" s="3" t="s">
        <v>40</v>
      </c>
      <c r="H2" s="3"/>
      <c r="I2" t="s">
        <v>57</v>
      </c>
      <c r="J2" t="s">
        <v>58</v>
      </c>
      <c r="K2" s="3" t="b">
        <f>IFERROR(VLOOKUP(F2,Boolean!A:B,2,0),"")</f>
        <v>1</v>
      </c>
      <c r="L2" s="3" t="b">
        <f>IFERROR(VLOOKUP(G2,Boolean!A:B,2,0),"")</f>
        <v>1</v>
      </c>
      <c r="M2">
        <v>3</v>
      </c>
    </row>
    <row r="3" spans="1:13" ht="21.95" customHeight="1" x14ac:dyDescent="0.25">
      <c r="A3" s="3" t="s">
        <v>52</v>
      </c>
      <c r="B3" s="3" t="s">
        <v>43</v>
      </c>
      <c r="C3" s="3" t="s">
        <v>44</v>
      </c>
      <c r="D3" s="4"/>
      <c r="E3" s="4"/>
      <c r="F3" s="3"/>
      <c r="G3" s="3"/>
      <c r="H3" s="3"/>
      <c r="I3" t="s">
        <v>59</v>
      </c>
      <c r="J3" t="s">
        <v>60</v>
      </c>
      <c r="K3" s="3" t="str">
        <f>IFERROR(VLOOKUP(F3,Boolean!A:B,2,0),"")</f>
        <v/>
      </c>
      <c r="L3" s="3" t="str">
        <f>IFERROR(VLOOKUP(G3,Boolean!A:B,2,0),"")</f>
        <v/>
      </c>
      <c r="M3">
        <v>3</v>
      </c>
    </row>
    <row r="4" spans="1:13" ht="21.95" customHeight="1" x14ac:dyDescent="0.25">
      <c r="A4" s="3" t="s">
        <v>56</v>
      </c>
      <c r="B4" s="3" t="s">
        <v>54</v>
      </c>
      <c r="C4" s="3" t="s">
        <v>54</v>
      </c>
      <c r="D4" s="4"/>
      <c r="E4" s="4"/>
      <c r="F4" s="3"/>
      <c r="G4" s="3"/>
      <c r="H4" s="3"/>
      <c r="I4" t="s">
        <v>61</v>
      </c>
      <c r="J4" t="s">
        <v>62</v>
      </c>
      <c r="K4" s="3" t="str">
        <f>IFERROR(VLOOKUP(F4,Boolean!A:B,2,0),"")</f>
        <v/>
      </c>
      <c r="L4" s="3" t="str">
        <f>IFERROR(VLOOKUP(G4,Boolean!A:B,2,0),"")</f>
        <v/>
      </c>
      <c r="M4">
        <v>21</v>
      </c>
    </row>
    <row r="5" spans="1:13" ht="21.95" customHeight="1" x14ac:dyDescent="0.25">
      <c r="A5" s="3" t="s">
        <v>51</v>
      </c>
      <c r="B5" s="3" t="s">
        <v>55</v>
      </c>
      <c r="C5" s="3" t="s">
        <v>55</v>
      </c>
      <c r="D5" s="4"/>
      <c r="E5" s="4"/>
      <c r="F5" s="3"/>
      <c r="G5" s="3"/>
      <c r="H5" s="3"/>
      <c r="K5" s="3" t="str">
        <f>IFERROR(VLOOKUP(F5,Boolean!A:B,2,0),"")</f>
        <v/>
      </c>
      <c r="L5" s="3" t="str">
        <f>IFERROR(VLOOKUP(G5,Boolean!A:B,2,0),"")</f>
        <v/>
      </c>
      <c r="M5">
        <v>16</v>
      </c>
    </row>
  </sheetData>
  <phoneticPr fontId="1" type="noConversion"/>
  <dataValidations disablePrompts="1" count="1">
    <dataValidation type="date" allowBlank="1" showInputMessage="1" showErrorMessage="1" errorTitle="無效的日期輸入" error="日期格式必須符合 `YYYY/MM/DD` 或是 `YYYY-MM-DD`" sqref="D2:E5" xr:uid="{1A61519F-B660-41A1-93F1-8B89E45AA985}">
      <formula1>1</formula1>
      <formula2>2958465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8" r:id="rId4" name="ListBox2">
          <controlPr defaultSize="0" autoLine="0" listFillRange="類別!A1:A5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1</xdr:col>
                <xdr:colOff>0</xdr:colOff>
                <xdr:row>9</xdr:row>
                <xdr:rowOff>66675</xdr:rowOff>
              </to>
            </anchor>
          </controlPr>
        </control>
      </mc:Choice>
      <mc:Fallback>
        <control shapeId="1028" r:id="rId4" name="ListBox2"/>
      </mc:Fallback>
    </mc:AlternateContent>
    <mc:AlternateContent xmlns:mc="http://schemas.openxmlformats.org/markup-compatibility/2006">
      <mc:Choice Requires="x14">
        <control shapeId="1027" r:id="rId6" name="ListBox1">
          <controlPr defaultSize="0" autoLine="0" listFillRange="身分!A1:A15" r:id="rId7">
            <anchor moveWithCells="1">
              <from>
                <xdr:col>8</xdr:col>
                <xdr:colOff>0</xdr:colOff>
                <xdr:row>4</xdr:row>
                <xdr:rowOff>0</xdr:rowOff>
              </from>
              <to>
                <xdr:col>8</xdr:col>
                <xdr:colOff>1628775</xdr:colOff>
                <xdr:row>10</xdr:row>
                <xdr:rowOff>0</xdr:rowOff>
              </to>
            </anchor>
          </controlPr>
        </control>
      </mc:Choice>
      <mc:Fallback>
        <control shapeId="1027" r:id="rId6" name="ListBox1"/>
      </mc:Fallback>
    </mc:AlternateContent>
  </controls>
  <tableParts count="1">
    <tablePart r:id="rId8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D6C5944-8E60-4B96-95C3-B44E807AD8FF}">
          <x14:formula1>
            <xm:f>Boolean!$A:$A</xm:f>
          </x14:formula1>
          <xm:sqref>F2:G5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45D50-35CC-4598-8143-4C553267B03A}">
  <sheetPr codeName="工作表4"/>
  <dimension ref="A1:B5"/>
  <sheetViews>
    <sheetView workbookViewId="0">
      <selection activeCell="C12" sqref="C12"/>
    </sheetView>
  </sheetViews>
  <sheetFormatPr defaultRowHeight="16.5" x14ac:dyDescent="0.25"/>
  <sheetData>
    <row r="1" spans="1:2" x14ac:dyDescent="0.25">
      <c r="A1" t="s">
        <v>47</v>
      </c>
      <c r="B1" s="1">
        <v>1</v>
      </c>
    </row>
    <row r="2" spans="1:2" x14ac:dyDescent="0.25">
      <c r="A2" t="s">
        <v>48</v>
      </c>
      <c r="B2" s="1">
        <v>2</v>
      </c>
    </row>
    <row r="3" spans="1:2" x14ac:dyDescent="0.25">
      <c r="A3" t="s">
        <v>49</v>
      </c>
      <c r="B3" s="1">
        <v>4</v>
      </c>
    </row>
    <row r="4" spans="1:2" x14ac:dyDescent="0.25">
      <c r="A4" t="s">
        <v>50</v>
      </c>
      <c r="B4" s="1">
        <v>8</v>
      </c>
    </row>
    <row r="5" spans="1:2" x14ac:dyDescent="0.25">
      <c r="A5" t="s">
        <v>51</v>
      </c>
      <c r="B5" s="1">
        <v>16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21399-4577-4BB1-B685-43A6DA24CC7D}">
  <sheetPr codeName="工作表2"/>
  <dimension ref="A1:B15"/>
  <sheetViews>
    <sheetView workbookViewId="0">
      <selection activeCell="B1" sqref="B1:B15"/>
    </sheetView>
  </sheetViews>
  <sheetFormatPr defaultRowHeight="16.5" x14ac:dyDescent="0.25"/>
  <cols>
    <col min="1" max="1" width="21.125" bestFit="1" customWidth="1"/>
    <col min="2" max="2" width="125.375" bestFit="1" customWidth="1"/>
  </cols>
  <sheetData>
    <row r="1" spans="1:2" x14ac:dyDescent="0.25">
      <c r="A1" t="s">
        <v>7</v>
      </c>
      <c r="B1" s="1" t="s">
        <v>22</v>
      </c>
    </row>
    <row r="2" spans="1:2" x14ac:dyDescent="0.25">
      <c r="A2" t="s">
        <v>8</v>
      </c>
      <c r="B2" s="1" t="s">
        <v>23</v>
      </c>
    </row>
    <row r="3" spans="1:2" x14ac:dyDescent="0.25">
      <c r="A3" t="s">
        <v>9</v>
      </c>
      <c r="B3" s="1" t="s">
        <v>24</v>
      </c>
    </row>
    <row r="4" spans="1:2" x14ac:dyDescent="0.25">
      <c r="A4" t="s">
        <v>10</v>
      </c>
      <c r="B4" s="1" t="s">
        <v>25</v>
      </c>
    </row>
    <row r="5" spans="1:2" x14ac:dyDescent="0.25">
      <c r="A5" t="s">
        <v>11</v>
      </c>
      <c r="B5" s="1" t="s">
        <v>26</v>
      </c>
    </row>
    <row r="6" spans="1:2" x14ac:dyDescent="0.25">
      <c r="A6" t="s">
        <v>12</v>
      </c>
      <c r="B6" s="1" t="s">
        <v>27</v>
      </c>
    </row>
    <row r="7" spans="1:2" x14ac:dyDescent="0.25">
      <c r="A7" t="s">
        <v>13</v>
      </c>
      <c r="B7" s="1" t="s">
        <v>28</v>
      </c>
    </row>
    <row r="8" spans="1:2" x14ac:dyDescent="0.25">
      <c r="A8" t="s">
        <v>14</v>
      </c>
      <c r="B8" s="1" t="s">
        <v>29</v>
      </c>
    </row>
    <row r="9" spans="1:2" x14ac:dyDescent="0.25">
      <c r="A9" t="s">
        <v>15</v>
      </c>
      <c r="B9" s="1" t="s">
        <v>30</v>
      </c>
    </row>
    <row r="10" spans="1:2" x14ac:dyDescent="0.25">
      <c r="A10" t="s">
        <v>16</v>
      </c>
      <c r="B10" s="1" t="s">
        <v>31</v>
      </c>
    </row>
    <row r="11" spans="1:2" x14ac:dyDescent="0.25">
      <c r="A11" t="s">
        <v>17</v>
      </c>
      <c r="B11" s="1" t="s">
        <v>32</v>
      </c>
    </row>
    <row r="12" spans="1:2" x14ac:dyDescent="0.25">
      <c r="A12" t="s">
        <v>18</v>
      </c>
      <c r="B12" s="1" t="s">
        <v>33</v>
      </c>
    </row>
    <row r="13" spans="1:2" x14ac:dyDescent="0.25">
      <c r="A13" t="s">
        <v>19</v>
      </c>
      <c r="B13" s="1" t="s">
        <v>34</v>
      </c>
    </row>
    <row r="14" spans="1:2" x14ac:dyDescent="0.25">
      <c r="A14" t="s">
        <v>20</v>
      </c>
      <c r="B14" s="1" t="s">
        <v>35</v>
      </c>
    </row>
    <row r="15" spans="1:2" x14ac:dyDescent="0.25">
      <c r="A15" t="s">
        <v>21</v>
      </c>
      <c r="B15" s="1" t="s">
        <v>36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82790-03BE-4BDB-97DA-2AFBC0C19852}">
  <sheetPr codeName="工作表3"/>
  <dimension ref="A1:B2"/>
  <sheetViews>
    <sheetView workbookViewId="0">
      <selection activeCell="A3" sqref="A3:XFD3"/>
    </sheetView>
  </sheetViews>
  <sheetFormatPr defaultRowHeight="16.5" x14ac:dyDescent="0.25"/>
  <sheetData>
    <row r="1" spans="1:2" x14ac:dyDescent="0.25">
      <c r="A1" t="s">
        <v>41</v>
      </c>
      <c r="B1" t="b">
        <v>1</v>
      </c>
    </row>
    <row r="2" spans="1:2" x14ac:dyDescent="0.25">
      <c r="A2" t="s">
        <v>42</v>
      </c>
      <c r="B2" t="b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主工作表</vt:lpstr>
      <vt:lpstr>類別</vt:lpstr>
      <vt:lpstr>身分</vt:lpstr>
      <vt:lpstr>Boolean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MF-A11002064</dc:creator>
  <cp:lastModifiedBy>資訊組</cp:lastModifiedBy>
  <dcterms:created xsi:type="dcterms:W3CDTF">2023-07-06T02:43:08Z</dcterms:created>
  <dcterms:modified xsi:type="dcterms:W3CDTF">2024-01-05T06:10:45Z</dcterms:modified>
</cp:coreProperties>
</file>